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Dashboard" sheetId="1" r:id="rId1"/>
    <sheet name="P1 Dead Inventory" sheetId="2" r:id="rId2"/>
    <sheet name="P2 OTIF" sheetId="3" r:id="rId3"/>
    <sheet name="P3 Freight" sheetId="4" r:id="rId4"/>
    <sheet name="P4 Bin Audit" sheetId="5" r:id="rId5"/>
    <sheet name="Action Tracker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34.83203125" customWidth="1"/>
    <col min="2" max="2" width="18.83203125" customWidth="1"/>
    <col min="3" max="3" width="14.83203125" customWidth="1"/>
    <col min="4" max="4" width="42.83203125" customWidth="1"/>
    <col min="5" max="5" width="26.83203125" customWidth="1"/>
  </cols>
  <sheetData>
    <row r="1">
      <c r="A1" t="str">
        <v>FACTORY COMMAND CENTER — MASTER EXECUTIVE DASHBOARD</v>
      </c>
      <c r="B1" t="str">
        <v/>
      </c>
      <c r="C1" t="str">
        <v/>
      </c>
      <c r="D1" t="str">
        <v/>
      </c>
      <c r="E1" t="str">
        <v/>
      </c>
    </row>
    <row r="2">
      <c r="A2" t="str">
        <v>Metric / Section</v>
      </c>
      <c r="B2" t="str">
        <v>Live Formula Value</v>
      </c>
      <c r="C2" t="str">
        <v>RAG Status</v>
      </c>
      <c r="D2" t="str">
        <v>Target / Threshold Rule</v>
      </c>
      <c r="E2" t="str">
        <v>Primary Owner</v>
      </c>
    </row>
    <row r="3">
      <c r="A3" t="str">
        <v>Factory Health Score (0-100)</v>
      </c>
      <c r="B3">
        <f>ROUND(0.30*B15+0.25*B16+0.25*B17+0.20*B18,0)</f>
        <v>65</v>
      </c>
      <c r="C3" t="str">
        <f>IF(B3&gt;=85,"GREEN",IF(B3&gt;=75,"AMBER","RED"))</f>
        <v>AMBER</v>
      </c>
      <c r="D3" t="str">
        <v>30% Inv + 25% OTIF + 25% Freight + 20% Accuracy</v>
      </c>
      <c r="E3" t="str">
        <v>Plant Head</v>
      </c>
    </row>
    <row r="4">
      <c r="A4" t="str">
        <v>Cash Stuck (P1 Dead Stock)</v>
      </c>
      <c r="B4">
        <f>SUMIFS('P1 Dead Inventory'!D2:D21,'P1 Dead Inventory'!E2:E21,"&gt;180")</f>
        <v>1003995</v>
      </c>
      <c r="C4" t="str">
        <f>IF(B4&gt;1000000,"RED",IF(B4&gt;500000,"AMBER","GREEN"))</f>
        <v>RED</v>
      </c>
      <c r="D4" t="str">
        <v>&gt; ₹10L RED | ₹5-10L AMBER | &lt; ₹5L GREEN</v>
      </c>
      <c r="E4" t="str">
        <v>Inventory Manager (7 Days)</v>
      </c>
    </row>
    <row r="5">
      <c r="A5" t="str">
        <v>Customer Promise OTIF % (P2)</v>
      </c>
      <c r="B5">
        <f>COUNTIF('P2 OTIF'!G2:G19,"YES")/COUNTA('P2 OTIF'!G2:G19)</f>
        <v>0.5</v>
      </c>
      <c r="C5" t="str">
        <f>IF(B5&gt;=0.95,"GREEN",IF(B5&gt;=0.90,"AMBER","RED"))</f>
        <v>RED</v>
      </c>
      <c r="D5" t="str">
        <v>95%+ GREEN | 90-95% AMBER | &lt;90% RED</v>
      </c>
      <c r="E5" t="str">
        <v>Dispatch Head (3 Days)</v>
      </c>
    </row>
    <row r="6">
      <c r="A6" t="str">
        <v>Revenue At Risk (P2 Failed POs)</v>
      </c>
      <c r="B6">
        <f>SUMIFS('P2 OTIF'!L2:L19,'P2 OTIF'!G2:G19,"NO")</f>
        <v>5754600</v>
      </c>
      <c r="C6" t="str">
        <f>IF(B6&gt;1000000,"RED",IF(B6&gt;300000,"AMBER","GREEN"))</f>
        <v>AMBER</v>
      </c>
      <c r="D6" t="str">
        <v>Order value of non-OTIF dispatches</v>
      </c>
      <c r="E6" t="str">
        <v>Dispatch Head (3 Days)</v>
      </c>
    </row>
    <row r="7">
      <c r="A7" t="str">
        <v>Freight Leakage (P3 Overspend)</v>
      </c>
      <c r="B7">
        <f>SUM('P3 Freight'!E2:E13)</f>
        <v>62749</v>
      </c>
      <c r="C7" t="str">
        <f>IF(B7&gt;50000,"RED",IF(B7&gt;=25000,"AMBER","GREEN"))</f>
        <v>RED</v>
      </c>
      <c r="D7" t="str">
        <v>&lt; ₹25K GREEN | ₹25K-50K AMBER | &gt; ₹50K RED</v>
      </c>
      <c r="E7" t="str">
        <v>Logistics Head (5 Days)</v>
      </c>
    </row>
    <row r="8">
      <c r="A8" t="str">
        <v>Inventory Accuracy % (P4 Bins)</v>
      </c>
      <c r="B8">
        <f>COUNTIF('P4 Bin Audit'!G2:G16,"Matched")/COUNTA('P4 Bin Audit'!G2:G16)</f>
        <v>0.6</v>
      </c>
      <c r="C8" t="str">
        <f>IF(B8&gt;=0.98,"GREEN",IF(B8&gt;=0.95,"AMBER","RED"))</f>
        <v>RED</v>
      </c>
      <c r="D8" t="str">
        <v>&gt;=98% GREEN | 95-98% AMBER | &lt;95% RED</v>
      </c>
      <c r="E8" t="str">
        <v>Stores Head (3 Days)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ACTION TRACKER SUMMARY</v>
      </c>
      <c r="B10" t="str">
        <v>Count</v>
      </c>
      <c r="C10" t="str">
        <v/>
      </c>
      <c r="D10" t="str">
        <v/>
      </c>
      <c r="E10" t="str">
        <v/>
      </c>
    </row>
    <row r="11">
      <c r="A11" t="str">
        <v>Open Actions</v>
      </c>
      <c r="B11">
        <f>COUNTIF('Action Tracker'!G2:G7,"Open")</f>
        <v>3</v>
      </c>
      <c r="C11" t="str">
        <v/>
      </c>
      <c r="D11" t="str">
        <v/>
      </c>
      <c r="E11" t="str">
        <v/>
      </c>
    </row>
    <row r="12">
      <c r="A12" t="str">
        <v>Overdue Actions</v>
      </c>
      <c r="B12">
        <f>COUNTIF('Action Tracker'!G2:G7,"Overdue")</f>
        <v>1</v>
      </c>
      <c r="C12" t="str">
        <v/>
      </c>
      <c r="D12" t="str">
        <v/>
      </c>
      <c r="E12" t="str">
        <v/>
      </c>
    </row>
    <row r="13">
      <c r="A13" t="str">
        <v>Completed Actions</v>
      </c>
      <c r="B13">
        <f>COUNTIF('Action Tracker'!G2:G7,"Completed")</f>
        <v>2</v>
      </c>
      <c r="C13" t="str">
        <v/>
      </c>
      <c r="D13" t="str">
        <v/>
      </c>
      <c r="E13" t="str">
        <v/>
      </c>
    </row>
    <row r="14">
      <c r="A14" t="str">
        <v>Department Scorecard</v>
      </c>
      <c r="B14" t="str">
        <v>Score (0-100)</v>
      </c>
      <c r="C14" t="str">
        <v>RAG</v>
      </c>
      <c r="D14" t="str">
        <v>Owner</v>
      </c>
      <c r="E14" t="str">
        <v>Cadence</v>
      </c>
    </row>
    <row r="15">
      <c r="A15" t="str">
        <v>Inventory</v>
      </c>
      <c r="B15">
        <v>72</v>
      </c>
      <c r="C15" t="str">
        <f>IF(B15&gt;=85,"GREEN",IF(B15&gt;=75,"AMBER","RED"))</f>
        <v>AMBER</v>
      </c>
      <c r="D15" t="str">
        <v>Inventory Manager</v>
      </c>
      <c r="E15" t="str">
        <v>7 Days</v>
      </c>
    </row>
    <row r="16">
      <c r="A16" t="str">
        <v>Dispatch</v>
      </c>
      <c r="B16">
        <v>55</v>
      </c>
      <c r="C16" t="str">
        <f>IF(B16&gt;=85,"GREEN",IF(B16&gt;=75,"AMBER","RED"))</f>
        <v>AMBER</v>
      </c>
      <c r="D16" t="str">
        <v>Dispatch Head</v>
      </c>
      <c r="E16" t="str">
        <v>3 Days</v>
      </c>
    </row>
    <row r="17">
      <c r="A17" t="str">
        <v>Logistics</v>
      </c>
      <c r="B17">
        <v>72</v>
      </c>
      <c r="C17" t="str">
        <f>IF(B17&gt;=85,"GREEN",IF(B17&gt;=75,"AMBER","RED"))</f>
        <v>AMBER</v>
      </c>
      <c r="D17" t="str">
        <v>Logistics Head</v>
      </c>
      <c r="E17" t="str">
        <v>5 Days</v>
      </c>
    </row>
    <row r="18">
      <c r="A18" t="str">
        <v>Warehouse</v>
      </c>
      <c r="B18">
        <v>60</v>
      </c>
      <c r="C18" t="str">
        <f>IF(B18&gt;=85,"GREEN",IF(B18&gt;=75,"AMBER","RED"))</f>
        <v>GREEN</v>
      </c>
      <c r="D18" t="str">
        <v>Stores Head</v>
      </c>
      <c r="E18" t="str">
        <v>3 Days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</row>
    <row r="20">
      <c r="A20" t="str">
        <v>6-MONTH TRENDS (JAN -&gt; JUN)</v>
      </c>
      <c r="B20" t="str">
        <v>Jan</v>
      </c>
      <c r="C20" t="str">
        <v>Feb</v>
      </c>
      <c r="D20" t="str">
        <v>Mar</v>
      </c>
      <c r="E20" t="str">
        <v>Apr</v>
      </c>
      <c r="F20" t="str">
        <v>May</v>
      </c>
      <c r="G20" t="str">
        <v>Jun</v>
      </c>
    </row>
    <row r="21">
      <c r="A21" t="str">
        <v>P1 Dead Inventory (₹ Lakhs)</v>
      </c>
      <c r="B21">
        <v>19.5</v>
      </c>
      <c r="C21">
        <v>18.8</v>
      </c>
      <c r="D21">
        <v>18.4</v>
      </c>
      <c r="E21">
        <v>18.1</v>
      </c>
      <c r="F21">
        <v>17.9</v>
      </c>
      <c r="G21">
        <v>10.04</v>
      </c>
    </row>
    <row r="22">
      <c r="A22" t="str">
        <v>P2 OTIF (%)</v>
      </c>
      <c r="B22">
        <v>84</v>
      </c>
      <c r="C22">
        <v>86</v>
      </c>
      <c r="D22">
        <v>88</v>
      </c>
      <c r="E22">
        <v>89</v>
      </c>
      <c r="F22">
        <v>90</v>
      </c>
      <c r="G22">
        <v>50</v>
      </c>
    </row>
    <row r="23">
      <c r="A23" t="str">
        <v>P3 Freight Leakage (₹K)</v>
      </c>
      <c r="B23">
        <v>92</v>
      </c>
      <c r="C23">
        <v>85</v>
      </c>
      <c r="D23">
        <v>79</v>
      </c>
      <c r="E23">
        <v>76</v>
      </c>
      <c r="F23">
        <v>74</v>
      </c>
      <c r="G23">
        <v>63</v>
      </c>
    </row>
    <row r="24">
      <c r="A24" t="str">
        <v>P4 Inventory Accuracy (%)</v>
      </c>
      <c r="B24">
        <v>89</v>
      </c>
      <c r="C24">
        <v>91</v>
      </c>
      <c r="D24">
        <v>93</v>
      </c>
      <c r="E24">
        <v>94</v>
      </c>
      <c r="F24">
        <v>95</v>
      </c>
      <c r="G24">
        <v>60</v>
      </c>
    </row>
  </sheetData>
  <ignoredErrors>
    <ignoredError numberStoredAsText="1" sqref="A1:G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16.83203125" customWidth="1"/>
    <col min="2" max="2" width="32.83203125" customWidth="1"/>
    <col min="3" max="3" width="10.83203125" customWidth="1"/>
    <col min="4" max="4" width="14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20.83203125" customWidth="1"/>
    <col min="10" max="10" width="14.83203125" customWidth="1"/>
  </cols>
  <sheetData>
    <row r="1">
      <c r="A1" t="str">
        <v>SKU</v>
      </c>
      <c r="B1" t="str">
        <v>Description</v>
      </c>
      <c r="C1" t="str">
        <v>Qty</v>
      </c>
      <c r="D1" t="str">
        <v>Value</v>
      </c>
      <c r="E1" t="str">
        <v>Idle Days</v>
      </c>
      <c r="F1" t="str">
        <v>Age Bucket</v>
      </c>
      <c r="G1" t="str">
        <v>ABC Class</v>
      </c>
      <c r="H1" t="str">
        <v>Status</v>
      </c>
      <c r="I1" t="str">
        <v>Owner</v>
      </c>
      <c r="J1" t="str">
        <v>Due Date</v>
      </c>
    </row>
    <row r="2">
      <c r="A2" t="str">
        <v>FG-PBX-G1</v>
      </c>
      <c r="B2" t="str">
        <v>Panel box gen-1</v>
      </c>
      <c r="C2">
        <v>14</v>
      </c>
      <c r="D2">
        <v>321300</v>
      </c>
      <c r="E2">
        <v>413</v>
      </c>
      <c r="F2" t="str">
        <f>IF(E2&gt;365,"365+",IF(E2&gt;180,"181-365",IF(E2&gt;90,"91-180","0-90")))</f>
        <v>365+</v>
      </c>
      <c r="G2" t="str">
        <v>A</v>
      </c>
      <c r="H2" t="str">
        <f>IF(E2&gt;180,"Dead",IF(E2&gt;90,"Slow","Moving"))</f>
        <v>Dead</v>
      </c>
      <c r="I2" t="str">
        <f>IF(E2&gt;180,"Inventory Manager","Stores Clerk")</f>
        <v>Inventory Manager</v>
      </c>
      <c r="J2" t="str">
        <v>2026-11-04</v>
      </c>
    </row>
    <row r="3">
      <c r="A3" t="str">
        <v>FG-FLG-150</v>
      </c>
      <c r="B3" t="str">
        <v>SS flange 150NB</v>
      </c>
      <c r="C3">
        <v>25</v>
      </c>
      <c r="D3">
        <v>208125</v>
      </c>
      <c r="E3">
        <v>232</v>
      </c>
      <c r="F3" t="str">
        <f>IF(E3&gt;365,"365+",IF(E3&gt;180,"181-365",IF(E3&gt;90,"91-180","0-90")))</f>
        <v>181-365</v>
      </c>
      <c r="G3" t="str">
        <v>A</v>
      </c>
      <c r="H3" t="str">
        <f>IF(E3&gt;180,"Dead",IF(E3&gt;90,"Slow","Moving"))</f>
        <v>Dead</v>
      </c>
      <c r="I3" t="str">
        <f>IF(E3&gt;180,"Inventory Manager","Stores Clerk")</f>
        <v>Inventory Manager</v>
      </c>
      <c r="J3" t="str">
        <v>2026-11-04</v>
      </c>
    </row>
    <row r="4">
      <c r="A4" t="str">
        <v>RM-COP-15</v>
      </c>
      <c r="B4" t="str">
        <v>Copper pipe 15mm</v>
      </c>
      <c r="C4">
        <v>60</v>
      </c>
      <c r="D4">
        <v>110700</v>
      </c>
      <c r="E4">
        <v>182</v>
      </c>
      <c r="F4" t="str">
        <f>IF(E4&gt;365,"365+",IF(E4&gt;180,"181-365",IF(E4&gt;90,"91-180","0-90")))</f>
        <v>181-365</v>
      </c>
      <c r="G4" t="str">
        <v>A</v>
      </c>
      <c r="H4" t="str">
        <f>IF(E4&gt;180,"Dead",IF(E4&gt;90,"Slow","Moving"))</f>
        <v>Dead</v>
      </c>
      <c r="I4" t="str">
        <f>IF(E4&gt;180,"Inventory Manager","Stores Clerk")</f>
        <v>Inventory Manager</v>
      </c>
      <c r="J4" t="str">
        <v>2026-11-04</v>
      </c>
    </row>
    <row r="5">
      <c r="A5" t="str">
        <v>CS-EPX-20L</v>
      </c>
      <c r="B5" t="str">
        <v>Epoxy grey 20L</v>
      </c>
      <c r="C5">
        <v>7</v>
      </c>
      <c r="D5">
        <v>88200</v>
      </c>
      <c r="E5">
        <v>197</v>
      </c>
      <c r="F5" t="str">
        <f>IF(E5&gt;365,"365+",IF(E5&gt;180,"181-365",IF(E5&gt;90,"91-180","0-90")))</f>
        <v>181-365</v>
      </c>
      <c r="G5" t="str">
        <v>B</v>
      </c>
      <c r="H5" t="str">
        <f>IF(E5&gt;180,"Dead",IF(E5&gt;90,"Slow","Moving"))</f>
        <v>Dead</v>
      </c>
      <c r="I5" t="str">
        <f>IF(E5&gt;180,"Inventory Manager","Stores Clerk")</f>
        <v>Inventory Manager</v>
      </c>
      <c r="J5" t="str">
        <v>2026-11-04</v>
      </c>
    </row>
    <row r="6">
      <c r="A6" t="str">
        <v>FG-GID-NS</v>
      </c>
      <c r="B6" t="str">
        <v>GI duct non-std</v>
      </c>
      <c r="C6">
        <v>16</v>
      </c>
      <c r="D6">
        <v>79200</v>
      </c>
      <c r="E6">
        <v>304</v>
      </c>
      <c r="F6" t="str">
        <f>IF(E6&gt;365,"365+",IF(E6&gt;180,"181-365",IF(E6&gt;90,"91-180","0-90")))</f>
        <v>181-365</v>
      </c>
      <c r="G6" t="str">
        <v>B</v>
      </c>
      <c r="H6" t="str">
        <f>IF(E6&gt;180,"Dead",IF(E6&gt;90,"Slow","Moving"))</f>
        <v>Dead</v>
      </c>
      <c r="I6" t="str">
        <f>IF(E6&gt;180,"Inventory Manager","Stores Clerk")</f>
        <v>Inventory Manager</v>
      </c>
      <c r="J6" t="str">
        <v>2026-11-04</v>
      </c>
    </row>
    <row r="7">
      <c r="A7" t="str">
        <v>SP-BRG-6308</v>
      </c>
      <c r="B7" t="str">
        <v>Bearing 6308 obsolete</v>
      </c>
      <c r="C7">
        <v>30</v>
      </c>
      <c r="D7">
        <v>74250</v>
      </c>
      <c r="E7">
        <v>270</v>
      </c>
      <c r="F7" t="str">
        <f>IF(E7&gt;365,"365+",IF(E7&gt;180,"181-365",IF(E7&gt;90,"91-180","0-90")))</f>
        <v>181-365</v>
      </c>
      <c r="G7" t="str">
        <v>B</v>
      </c>
      <c r="H7" t="str">
        <f>IF(E7&gt;180,"Dead",IF(E7&gt;90,"Slow","Moving"))</f>
        <v>Dead</v>
      </c>
      <c r="I7" t="str">
        <f>IF(E7&gt;180,"Inventory Manager","Stores Clerk")</f>
        <v>Inventory Manager</v>
      </c>
      <c r="J7" t="str">
        <v>2026-11-04</v>
      </c>
    </row>
    <row r="8">
      <c r="A8" t="str">
        <v>RM-VAL-1IN</v>
      </c>
      <c r="B8" t="str">
        <v>Brass valve 1 inch</v>
      </c>
      <c r="C8">
        <v>20</v>
      </c>
      <c r="D8">
        <v>68400</v>
      </c>
      <c r="E8">
        <v>215</v>
      </c>
      <c r="F8" t="str">
        <f>IF(E8&gt;365,"365+",IF(E8&gt;180,"181-365",IF(E8&gt;90,"91-180","0-90")))</f>
        <v>181-365</v>
      </c>
      <c r="G8" t="str">
        <v>B</v>
      </c>
      <c r="H8" t="str">
        <f>IF(E8&gt;180,"Dead",IF(E8&gt;90,"Slow","Moving"))</f>
        <v>Dead</v>
      </c>
      <c r="I8" t="str">
        <f>IF(E8&gt;180,"Inventory Manager","Stores Clerk")</f>
        <v>Inventory Manager</v>
      </c>
      <c r="J8" t="str">
        <v>2026-11-04</v>
      </c>
    </row>
    <row r="9">
      <c r="A9" t="str">
        <v>RM-MSA-50</v>
      </c>
      <c r="B9" t="str">
        <v>MS Angle 50x50 scrap offcut</v>
      </c>
      <c r="C9">
        <v>26</v>
      </c>
      <c r="D9">
        <v>53820</v>
      </c>
      <c r="E9">
        <v>348</v>
      </c>
      <c r="F9" t="str">
        <f>IF(E9&gt;365,"365+",IF(E9&gt;180,"181-365",IF(E9&gt;90,"91-180","0-90")))</f>
        <v>181-365</v>
      </c>
      <c r="G9" t="str">
        <v>C</v>
      </c>
      <c r="H9" t="str">
        <f>IF(E9&gt;180,"Dead",IF(E9&gt;90,"Slow","Moving"))</f>
        <v>Dead</v>
      </c>
      <c r="I9" t="str">
        <f>IF(E9&gt;180,"Inventory Manager","Stores Clerk")</f>
        <v>Inventory Manager</v>
      </c>
      <c r="J9" t="str">
        <v>2026-11-04</v>
      </c>
    </row>
    <row r="10">
      <c r="A10" t="str">
        <v>FG-EVC-PNL</v>
      </c>
      <c r="B10" t="str">
        <v>EV charger panel</v>
      </c>
      <c r="C10">
        <v>8</v>
      </c>
      <c r="D10">
        <v>172800</v>
      </c>
      <c r="E10">
        <v>92</v>
      </c>
      <c r="F10" t="str">
        <f>IF(E10&gt;365,"365+",IF(E10&gt;180,"181-365",IF(E10&gt;90,"91-180","0-90")))</f>
        <v>91-180</v>
      </c>
      <c r="G10" t="str">
        <v>A</v>
      </c>
      <c r="H10" t="str">
        <f>IF(E10&gt;180,"Dead",IF(E10&gt;90,"Slow","Moving"))</f>
        <v>Slow</v>
      </c>
      <c r="I10" t="str">
        <f>IF(E10&gt;180,"Inventory Manager","Stores Clerk")</f>
        <v>Stores Clerk</v>
      </c>
      <c r="J10" t="str">
        <v>-</v>
      </c>
    </row>
    <row r="11">
      <c r="A11" t="str">
        <v>SP-HYD-050</v>
      </c>
      <c r="B11" t="str">
        <v>Hydraulic hose 1/2"</v>
      </c>
      <c r="C11">
        <v>18</v>
      </c>
      <c r="D11">
        <v>113400</v>
      </c>
      <c r="E11">
        <v>135</v>
      </c>
      <c r="F11" t="str">
        <f>IF(E11&gt;365,"365+",IF(E11&gt;180,"181-365",IF(E11&gt;90,"91-180","0-90")))</f>
        <v>91-180</v>
      </c>
      <c r="G11" t="str">
        <v>A</v>
      </c>
      <c r="H11" t="str">
        <f>IF(E11&gt;180,"Dead",IF(E11&gt;90,"Slow","Moving"))</f>
        <v>Slow</v>
      </c>
      <c r="I11" t="str">
        <f>IF(E11&gt;180,"Inventory Manager","Stores Clerk")</f>
        <v>Stores Clerk</v>
      </c>
      <c r="J11" t="str">
        <v>-</v>
      </c>
    </row>
    <row r="12">
      <c r="A12" t="str">
        <v>RM-ALU-40</v>
      </c>
      <c r="B12" t="str">
        <v>Aluminium section 40x40</v>
      </c>
      <c r="C12">
        <v>42</v>
      </c>
      <c r="D12">
        <v>185220</v>
      </c>
      <c r="E12">
        <v>48</v>
      </c>
      <c r="F12" t="str">
        <f>IF(E12&gt;365,"365+",IF(E12&gt;180,"181-365",IF(E12&gt;90,"91-180","0-90")))</f>
        <v>0-90</v>
      </c>
      <c r="G12" t="str">
        <v>A</v>
      </c>
      <c r="H12" t="str">
        <f>IF(E12&gt;180,"Dead",IF(E12&gt;90,"Slow","Moving"))</f>
        <v>Moving</v>
      </c>
      <c r="I12" t="str">
        <f>IF(E12&gt;180,"Inventory Manager","Stores Clerk")</f>
        <v>Stores Clerk</v>
      </c>
      <c r="J12" t="str">
        <v>-</v>
      </c>
    </row>
    <row r="13">
      <c r="A13" t="str">
        <v>RM-BOLT-M12</v>
      </c>
      <c r="B13" t="str">
        <v>Fastener hex bolt M12 high-tensile</v>
      </c>
      <c r="C13">
        <v>1500</v>
      </c>
      <c r="D13">
        <v>135000</v>
      </c>
      <c r="E13">
        <v>64</v>
      </c>
      <c r="F13" t="str">
        <f>IF(E13&gt;365,"365+",IF(E13&gt;180,"181-365",IF(E13&gt;90,"91-180","0-90")))</f>
        <v>0-90</v>
      </c>
      <c r="G13" t="str">
        <v>A</v>
      </c>
      <c r="H13" t="str">
        <f>IF(E13&gt;180,"Dead",IF(E13&gt;90,"Slow","Moving"))</f>
        <v>Moving</v>
      </c>
      <c r="I13" t="str">
        <f>IF(E13&gt;180,"Inventory Manager","Stores Clerk")</f>
        <v>Stores Clerk</v>
      </c>
      <c r="J13" t="str">
        <v>-</v>
      </c>
    </row>
    <row r="14">
      <c r="A14" t="str">
        <v>RM-SS-304</v>
      </c>
      <c r="B14" t="str">
        <v>SS 304 sheet 2mm</v>
      </c>
      <c r="C14">
        <v>30</v>
      </c>
      <c r="D14">
        <v>641250</v>
      </c>
      <c r="E14">
        <v>13</v>
      </c>
      <c r="F14" t="str">
        <f>IF(E14&gt;365,"365+",IF(E14&gt;180,"181-365",IF(E14&gt;90,"91-180","0-90")))</f>
        <v>0-90</v>
      </c>
      <c r="G14" t="str">
        <v>A</v>
      </c>
      <c r="H14" t="str">
        <f>IF(E14&gt;180,"Dead",IF(E14&gt;90,"Slow","Moving"))</f>
        <v>Moving</v>
      </c>
      <c r="I14" t="str">
        <f>IF(E14&gt;180,"Inventory Manager","Stores Clerk")</f>
        <v>Stores Clerk</v>
      </c>
      <c r="J14" t="str">
        <v>-</v>
      </c>
    </row>
    <row r="15">
      <c r="A15" t="str">
        <v>RM-MSP-10</v>
      </c>
      <c r="B15" t="str">
        <v>MS Plate 10mm structural</v>
      </c>
      <c r="C15">
        <v>18</v>
      </c>
      <c r="D15">
        <v>401760</v>
      </c>
      <c r="E15">
        <v>8</v>
      </c>
      <c r="F15" t="str">
        <f>IF(E15&gt;365,"365+",IF(E15&gt;180,"181-365",IF(E15&gt;90,"91-180","0-90")))</f>
        <v>0-90</v>
      </c>
      <c r="G15" t="str">
        <v>A</v>
      </c>
      <c r="H15" t="str">
        <f>IF(E15&gt;180,"Dead",IF(E15&gt;90,"Slow","Moving"))</f>
        <v>Moving</v>
      </c>
      <c r="I15" t="str">
        <f>IF(E15&gt;180,"Inventory Manager","Stores Clerk")</f>
        <v>Stores Clerk</v>
      </c>
      <c r="J15" t="str">
        <v>-</v>
      </c>
    </row>
    <row r="16">
      <c r="A16" t="str">
        <v>CS-WLD-70S</v>
      </c>
      <c r="B16" t="str">
        <v>Welding wire spool ER70S-6</v>
      </c>
      <c r="C16">
        <v>21</v>
      </c>
      <c r="D16">
        <v>94500</v>
      </c>
      <c r="E16">
        <v>20</v>
      </c>
      <c r="F16" t="str">
        <f>IF(E16&gt;365,"365+",IF(E16&gt;180,"181-365",IF(E16&gt;90,"91-180","0-90")))</f>
        <v>0-90</v>
      </c>
      <c r="G16" t="str">
        <v>A</v>
      </c>
      <c r="H16" t="str">
        <f>IF(E16&gt;180,"Dead",IF(E16&gt;90,"Slow","Moving"))</f>
        <v>Moving</v>
      </c>
      <c r="I16" t="str">
        <f>IF(E16&gt;180,"Inventory Manager","Stores Clerk")</f>
        <v>Stores Clerk</v>
      </c>
      <c r="J16" t="str">
        <v>-</v>
      </c>
    </row>
    <row r="17">
      <c r="A17" t="str">
        <v>CS-CUT-4IN</v>
      </c>
      <c r="B17" t="str">
        <v>Cutting disc 4 inch abrasive</v>
      </c>
      <c r="C17">
        <v>300</v>
      </c>
      <c r="D17">
        <v>67500</v>
      </c>
      <c r="E17">
        <v>5</v>
      </c>
      <c r="F17" t="str">
        <f>IF(E17&gt;365,"365+",IF(E17&gt;180,"181-365",IF(E17&gt;90,"91-180","0-90")))</f>
        <v>0-90</v>
      </c>
      <c r="G17" t="str">
        <v>B</v>
      </c>
      <c r="H17" t="str">
        <f>IF(E17&gt;180,"Dead",IF(E17&gt;90,"Slow","Moving"))</f>
        <v>Moving</v>
      </c>
      <c r="I17" t="str">
        <f>IF(E17&gt;180,"Inventory Manager","Stores Clerk")</f>
        <v>Stores Clerk</v>
      </c>
      <c r="J17" t="str">
        <v>-</v>
      </c>
    </row>
    <row r="18">
      <c r="A18" t="str">
        <v>RM-MSP-02</v>
      </c>
      <c r="B18" t="str">
        <v>MS Pipe 2 inch B-class</v>
      </c>
      <c r="C18">
        <v>14</v>
      </c>
      <c r="D18">
        <v>44100</v>
      </c>
      <c r="E18">
        <v>16</v>
      </c>
      <c r="F18" t="str">
        <f>IF(E18&gt;365,"365+",IF(E18&gt;180,"181-365",IF(E18&gt;90,"91-180","0-90")))</f>
        <v>0-90</v>
      </c>
      <c r="G18" t="str">
        <v>C</v>
      </c>
      <c r="H18" t="str">
        <f>IF(E18&gt;180,"Dead",IF(E18&gt;90,"Slow","Moving"))</f>
        <v>Moving</v>
      </c>
      <c r="I18" t="str">
        <f>IF(E18&gt;180,"Inventory Manager","Stores Clerk")</f>
        <v>Stores Clerk</v>
      </c>
      <c r="J18" t="str">
        <v>-</v>
      </c>
    </row>
    <row r="19">
      <c r="A19" t="str">
        <v>CS-GRD-7IN</v>
      </c>
      <c r="B19" t="str">
        <v>Grinding wheel 7 inch</v>
      </c>
      <c r="C19">
        <v>30</v>
      </c>
      <c r="D19">
        <v>20250</v>
      </c>
      <c r="E19">
        <v>11</v>
      </c>
      <c r="F19" t="str">
        <f>IF(E19&gt;365,"365+",IF(E19&gt;180,"181-365",IF(E19&gt;90,"91-180","0-90")))</f>
        <v>0-90</v>
      </c>
      <c r="G19" t="str">
        <v>C</v>
      </c>
      <c r="H19" t="str">
        <f>IF(E19&gt;180,"Dead",IF(E19&gt;90,"Slow","Moving"))</f>
        <v>Moving</v>
      </c>
      <c r="I19" t="str">
        <f>IF(E19&gt;180,"Inventory Manager","Stores Clerk")</f>
        <v>Stores Clerk</v>
      </c>
      <c r="J19" t="str">
        <v>-</v>
      </c>
    </row>
    <row r="20">
      <c r="A20" t="str">
        <v>CS-ZNC-SPY</v>
      </c>
      <c r="B20" t="str">
        <v>Zinc cold galvanize spray 500ml</v>
      </c>
      <c r="C20">
        <v>8</v>
      </c>
      <c r="D20">
        <v>14400</v>
      </c>
      <c r="E20">
        <v>7</v>
      </c>
      <c r="F20" t="str">
        <f>IF(E20&gt;365,"365+",IF(E20&gt;180,"181-365",IF(E20&gt;90,"91-180","0-90")))</f>
        <v>0-90</v>
      </c>
      <c r="G20" t="str">
        <v>C</v>
      </c>
      <c r="H20" t="str">
        <f>IF(E20&gt;180,"Dead",IF(E20&gt;90,"Slow","Moving"))</f>
        <v>Moving</v>
      </c>
      <c r="I20" t="str">
        <f>IF(E20&gt;180,"Inventory Manager","Stores Clerk")</f>
        <v>Stores Clerk</v>
      </c>
      <c r="J20" t="str">
        <v>-</v>
      </c>
    </row>
    <row r="21">
      <c r="A21" t="str">
        <v>CS-TEF-ROL</v>
      </c>
      <c r="B21" t="str">
        <v>Teflon thread seal tape 12mm</v>
      </c>
      <c r="C21">
        <v>100</v>
      </c>
      <c r="D21">
        <v>11250</v>
      </c>
      <c r="E21">
        <v>3</v>
      </c>
      <c r="F21" t="str">
        <f>IF(E21&gt;365,"365+",IF(E21&gt;180,"181-365",IF(E21&gt;90,"91-180","0-90")))</f>
        <v>0-90</v>
      </c>
      <c r="G21" t="str">
        <v>C</v>
      </c>
      <c r="H21" t="str">
        <f>IF(E21&gt;180,"Dead",IF(E21&gt;90,"Slow","Moving"))</f>
        <v>Moving</v>
      </c>
      <c r="I21" t="str">
        <f>IF(E21&gt;180,"Inventory Manager","Stores Clerk")</f>
        <v>Stores Clerk</v>
      </c>
      <c r="J21" t="str">
        <v>-</v>
      </c>
    </row>
    <row r="23">
      <c r="A23" t="str">
        <v>TOTAL DEAD STOCK VALUE (&gt;180d)</v>
      </c>
      <c r="B23" t="str">
        <v/>
      </c>
      <c r="C23" t="str">
        <v/>
      </c>
      <c r="D23">
        <f>SUMIFS(D2:D21,E2:E21,"&gt;180")</f>
        <v>1003995</v>
      </c>
      <c r="E23" t="str">
        <v/>
      </c>
      <c r="F23" t="str">
        <v>RAG STATUS:</v>
      </c>
      <c r="G23" t="str">
        <f>IF(D23&gt;1000000,"RED",IF(D23&gt;500000,"AMBER","GREEN"))</f>
        <v>RED</v>
      </c>
    </row>
  </sheetData>
  <ignoredErrors>
    <ignoredError numberStoredAsText="1" sqref="A1:J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cols>
    <col min="1" max="1" width="16.83203125" customWidth="1"/>
    <col min="2" max="2" width="22.83203125" customWidth="1"/>
    <col min="3" max="3" width="14.83203125" customWidth="1"/>
    <col min="4" max="4" width="14.83203125" customWidth="1"/>
    <col min="5" max="5" width="12.83203125" customWidth="1"/>
    <col min="6" max="6" width="13.83203125" customWidth="1"/>
    <col min="7" max="7" width="10.83203125" customWidth="1"/>
    <col min="8" max="8" width="12.83203125" customWidth="1"/>
    <col min="9" max="9" width="22.83203125" customWidth="1"/>
    <col min="10" max="10" width="16.83203125" customWidth="1"/>
    <col min="11" max="11" width="14.83203125" customWidth="1"/>
    <col min="12" max="12" width="15.83203125" customWidth="1"/>
  </cols>
  <sheetData>
    <row r="1">
      <c r="A1" t="str">
        <v>Order No</v>
      </c>
      <c r="B1" t="str">
        <v>Customer</v>
      </c>
      <c r="C1" t="str">
        <v>Required Date</v>
      </c>
      <c r="D1" t="str">
        <v>Actual Date</v>
      </c>
      <c r="E1" t="str">
        <v>Ordered Qty</v>
      </c>
      <c r="F1" t="str">
        <v>Delivered Qty</v>
      </c>
      <c r="G1" t="str">
        <v>OTIF</v>
      </c>
      <c r="H1" t="str">
        <v>Delay Days</v>
      </c>
      <c r="I1" t="str">
        <v>Root Cause</v>
      </c>
      <c r="J1" t="str">
        <v>Owner</v>
      </c>
      <c r="K1" t="str">
        <v>Due Date</v>
      </c>
      <c r="L1" t="str">
        <v>Order Value</v>
      </c>
    </row>
    <row r="2">
      <c r="A2" t="str">
        <v>PO-HMI-7721</v>
      </c>
      <c r="B2" t="str">
        <v>Hyundai vendor park</v>
      </c>
      <c r="C2" t="str">
        <v>2026-09-17</v>
      </c>
      <c r="D2" t="str">
        <v>2026-09-18</v>
      </c>
      <c r="E2">
        <v>50</v>
      </c>
      <c r="F2">
        <v>50</v>
      </c>
      <c r="G2" t="str">
        <f>IF(AND(H2&lt;=0,F2&gt;=E2),"YES","NO")</f>
        <v>NO</v>
      </c>
      <c r="H2">
        <v>1</v>
      </c>
      <c r="I2" t="str">
        <v>QC hold</v>
      </c>
      <c r="J2" t="str">
        <f>IF(G2="NO","Dispatch Head","-")</f>
        <v>Dispatch Head</v>
      </c>
      <c r="K2" t="str">
        <v>2026-10-31</v>
      </c>
      <c r="L2">
        <v>258750</v>
      </c>
    </row>
    <row r="3">
      <c r="A3" t="str">
        <v>PO-HMI-7740</v>
      </c>
      <c r="B3" t="str">
        <v>Hyundai vendor park</v>
      </c>
      <c r="C3" t="str">
        <v>2026-09-21</v>
      </c>
      <c r="D3" t="str">
        <v>2026-09-21</v>
      </c>
      <c r="E3">
        <v>200</v>
      </c>
      <c r="F3">
        <v>140</v>
      </c>
      <c r="G3" t="str">
        <f>IF(AND(H3&lt;=0,F3&gt;=E3),"YES","NO")</f>
        <v>NO</v>
      </c>
      <c r="H3">
        <v>0</v>
      </c>
      <c r="I3" t="str">
        <v>Material short</v>
      </c>
      <c r="J3" t="str">
        <f>IF(G3="NO","Dispatch Head","-")</f>
        <v>Dispatch Head</v>
      </c>
      <c r="K3" t="str">
        <v>2026-10-31</v>
      </c>
      <c r="L3">
        <v>1035000</v>
      </c>
    </row>
    <row r="4">
      <c r="A4" t="str">
        <v>PO-HMI-7802</v>
      </c>
      <c r="B4" t="str">
        <v>Hyundai vendor park</v>
      </c>
      <c r="C4" t="str">
        <v>2026-09-24</v>
      </c>
      <c r="D4" t="str">
        <v>2026-09-25</v>
      </c>
      <c r="E4">
        <v>80</v>
      </c>
      <c r="F4">
        <v>80</v>
      </c>
      <c r="G4" t="str">
        <f>IF(AND(H4&lt;=0,F4&gt;=E4),"YES","NO")</f>
        <v>NO</v>
      </c>
      <c r="H4">
        <v>1</v>
      </c>
      <c r="I4" t="str">
        <v>Paperwork</v>
      </c>
      <c r="J4" t="str">
        <f>IF(G4="NO","Dispatch Head","-")</f>
        <v>Dispatch Head</v>
      </c>
      <c r="K4" t="str">
        <v>2026-10-31</v>
      </c>
      <c r="L4">
        <v>414000</v>
      </c>
    </row>
    <row r="5">
      <c r="A5" t="str">
        <v>PO-HMI-7850</v>
      </c>
      <c r="B5" t="str">
        <v>Hyundai vendor park</v>
      </c>
      <c r="C5" t="str">
        <v>2026-09-26</v>
      </c>
      <c r="D5" t="str">
        <v>2026-09-26</v>
      </c>
      <c r="E5">
        <v>120</v>
      </c>
      <c r="F5">
        <v>120</v>
      </c>
      <c r="G5" t="str">
        <f>IF(AND(H5&lt;=0,F5&gt;=E5),"YES","NO")</f>
        <v>YES</v>
      </c>
      <c r="H5">
        <v>0</v>
      </c>
      <c r="I5" t="str">
        <v>On Schedule</v>
      </c>
      <c r="J5" t="str">
        <f>IF(G5="NO","Dispatch Head","-")</f>
        <v>-</v>
      </c>
      <c r="K5" t="str">
        <v>-</v>
      </c>
      <c r="L5">
        <v>621000</v>
      </c>
    </row>
    <row r="6">
      <c r="A6" t="str">
        <v>PO-HMI-7895</v>
      </c>
      <c r="B6" t="str">
        <v>Hyundai vendor park</v>
      </c>
      <c r="C6" t="str">
        <v>2026-09-28</v>
      </c>
      <c r="D6" t="str">
        <v>2026-09-28</v>
      </c>
      <c r="E6">
        <v>65</v>
      </c>
      <c r="F6">
        <v>65</v>
      </c>
      <c r="G6" t="str">
        <f>IF(AND(H6&lt;=0,F6&gt;=E6),"YES","NO")</f>
        <v>YES</v>
      </c>
      <c r="H6">
        <v>0</v>
      </c>
      <c r="I6" t="str">
        <v>On Schedule</v>
      </c>
      <c r="J6" t="str">
        <f>IF(G6="NO","Dispatch Head","-")</f>
        <v>-</v>
      </c>
      <c r="K6" t="str">
        <v>-</v>
      </c>
      <c r="L6">
        <v>336375</v>
      </c>
    </row>
    <row r="7">
      <c r="A7" t="str">
        <v>PO-RE-4492</v>
      </c>
      <c r="B7" t="str">
        <v>Royal Enfield supplier</v>
      </c>
      <c r="C7" t="str">
        <v>2026-09-16</v>
      </c>
      <c r="D7" t="str">
        <v>2026-09-16</v>
      </c>
      <c r="E7">
        <v>40</v>
      </c>
      <c r="F7">
        <v>28</v>
      </c>
      <c r="G7" t="str">
        <f>IF(AND(H7&lt;=0,F7&gt;=E7),"YES","NO")</f>
        <v>NO</v>
      </c>
      <c r="H7">
        <v>0</v>
      </c>
      <c r="I7" t="str">
        <v>Material short</v>
      </c>
      <c r="J7" t="str">
        <f>IF(G7="NO","Dispatch Head","-")</f>
        <v>Dispatch Head</v>
      </c>
      <c r="K7" t="str">
        <v>2026-10-31</v>
      </c>
      <c r="L7">
        <v>207000</v>
      </c>
    </row>
    <row r="8">
      <c r="A8" t="str">
        <v>WA-2026-09-18</v>
      </c>
      <c r="B8" t="str">
        <v>Royal Enfield supplier</v>
      </c>
      <c r="C8" t="str">
        <v>2026-09-20</v>
      </c>
      <c r="D8" t="str">
        <v>2026-09-21</v>
      </c>
      <c r="E8">
        <v>150</v>
      </c>
      <c r="F8">
        <v>150</v>
      </c>
      <c r="G8" t="str">
        <f>IF(AND(H8&lt;=0,F8&gt;=E8),"YES","NO")</f>
        <v>NO</v>
      </c>
      <c r="H8">
        <v>1</v>
      </c>
      <c r="I8" t="str">
        <v>QC hold</v>
      </c>
      <c r="J8" t="str">
        <f>IF(G8="NO","Dispatch Head","-")</f>
        <v>Dispatch Head</v>
      </c>
      <c r="K8" t="str">
        <v>2026-10-31</v>
      </c>
      <c r="L8">
        <v>776250</v>
      </c>
    </row>
    <row r="9">
      <c r="A9" t="str">
        <v>PO-RE-4518</v>
      </c>
      <c r="B9" t="str">
        <v>Royal Enfield supplier</v>
      </c>
      <c r="C9" t="str">
        <v>2026-09-15</v>
      </c>
      <c r="D9" t="str">
        <v>2026-09-15</v>
      </c>
      <c r="E9">
        <v>75</v>
      </c>
      <c r="F9">
        <v>75</v>
      </c>
      <c r="G9" t="str">
        <f>IF(AND(H9&lt;=0,F9&gt;=E9),"YES","NO")</f>
        <v>YES</v>
      </c>
      <c r="H9">
        <v>0</v>
      </c>
      <c r="I9" t="str">
        <v>On Schedule</v>
      </c>
      <c r="J9" t="str">
        <f>IF(G9="NO","Dispatch Head","-")</f>
        <v>-</v>
      </c>
      <c r="K9" t="str">
        <v>-</v>
      </c>
      <c r="L9">
        <v>388125</v>
      </c>
    </row>
    <row r="10">
      <c r="A10" t="str">
        <v>PO-RE-4535</v>
      </c>
      <c r="B10" t="str">
        <v>Royal Enfield supplier</v>
      </c>
      <c r="C10" t="str">
        <v>2026-09-22</v>
      </c>
      <c r="D10" t="str">
        <v>2026-09-22</v>
      </c>
      <c r="E10">
        <v>250</v>
      </c>
      <c r="F10">
        <v>250</v>
      </c>
      <c r="G10" t="str">
        <f>IF(AND(H10&lt;=0,F10&gt;=E10),"YES","NO")</f>
        <v>YES</v>
      </c>
      <c r="H10">
        <v>0</v>
      </c>
      <c r="I10" t="str">
        <v>On Schedule</v>
      </c>
      <c r="J10" t="str">
        <f>IF(G10="NO","Dispatch Head","-")</f>
        <v>-</v>
      </c>
      <c r="K10" t="str">
        <v>-</v>
      </c>
      <c r="L10">
        <v>1293750</v>
      </c>
    </row>
    <row r="11">
      <c r="A11" t="str">
        <v>PO-RE-4560</v>
      </c>
      <c r="B11" t="str">
        <v>Royal Enfield supplier</v>
      </c>
      <c r="C11" t="str">
        <v>2026-09-27</v>
      </c>
      <c r="D11" t="str">
        <v>2026-09-27</v>
      </c>
      <c r="E11">
        <v>110</v>
      </c>
      <c r="F11">
        <v>110</v>
      </c>
      <c r="G11" t="str">
        <f>IF(AND(H11&lt;=0,F11&gt;=E11),"YES","NO")</f>
        <v>YES</v>
      </c>
      <c r="H11">
        <v>0</v>
      </c>
      <c r="I11" t="str">
        <v>On Schedule</v>
      </c>
      <c r="J11" t="str">
        <f>IF(G11="NO","Dispatch Head","-")</f>
        <v>-</v>
      </c>
      <c r="K11" t="str">
        <v>-</v>
      </c>
      <c r="L11">
        <v>569250</v>
      </c>
    </row>
    <row r="12">
      <c r="A12" t="str">
        <v>PO-ALL-9012</v>
      </c>
      <c r="B12" t="str">
        <v>Ashok Leyland line</v>
      </c>
      <c r="C12" t="str">
        <v>2026-09-19</v>
      </c>
      <c r="D12" t="str">
        <v>2026-09-20</v>
      </c>
      <c r="E12">
        <v>12</v>
      </c>
      <c r="F12">
        <v>12</v>
      </c>
      <c r="G12" t="str">
        <f>IF(AND(H12&lt;=0,F12&gt;=E12),"YES","NO")</f>
        <v>NO</v>
      </c>
      <c r="H12">
        <v>1</v>
      </c>
      <c r="I12" t="str">
        <v>No vehicle</v>
      </c>
      <c r="J12" t="str">
        <f>IF(G12="NO","Dispatch Head","-")</f>
        <v>Dispatch Head</v>
      </c>
      <c r="K12" t="str">
        <v>2026-10-31</v>
      </c>
      <c r="L12">
        <v>62100</v>
      </c>
    </row>
    <row r="13">
      <c r="A13" t="str">
        <v>PO-ALL-9045</v>
      </c>
      <c r="B13" t="str">
        <v>Ashok Leyland line</v>
      </c>
      <c r="C13" t="str">
        <v>2026-09-23</v>
      </c>
      <c r="D13" t="str">
        <v>2026-09-24</v>
      </c>
      <c r="E13">
        <v>100</v>
      </c>
      <c r="F13">
        <v>60</v>
      </c>
      <c r="G13" t="str">
        <f>IF(AND(H13&lt;=0,F13&gt;=E13),"YES","NO")</f>
        <v>NO</v>
      </c>
      <c r="H13">
        <v>1</v>
      </c>
      <c r="I13" t="str">
        <v>Material short</v>
      </c>
      <c r="J13" t="str">
        <f>IF(G13="NO","Dispatch Head","-")</f>
        <v>Dispatch Head</v>
      </c>
      <c r="K13" t="str">
        <v>2026-10-31</v>
      </c>
      <c r="L13">
        <v>517500</v>
      </c>
    </row>
    <row r="14">
      <c r="A14" t="str">
        <v>PO-ALL-8980</v>
      </c>
      <c r="B14" t="str">
        <v>Ashok Leyland line</v>
      </c>
      <c r="C14" t="str">
        <v>2026-09-16</v>
      </c>
      <c r="D14" t="str">
        <v>2026-09-16</v>
      </c>
      <c r="E14">
        <v>35</v>
      </c>
      <c r="F14">
        <v>35</v>
      </c>
      <c r="G14" t="str">
        <f>IF(AND(H14&lt;=0,F14&gt;=E14),"YES","NO")</f>
        <v>YES</v>
      </c>
      <c r="H14">
        <v>0</v>
      </c>
      <c r="I14" t="str">
        <v>On Schedule</v>
      </c>
      <c r="J14" t="str">
        <f>IF(G14="NO","Dispatch Head","-")</f>
        <v>-</v>
      </c>
      <c r="K14" t="str">
        <v>-</v>
      </c>
      <c r="L14">
        <v>181125</v>
      </c>
    </row>
    <row r="15">
      <c r="A15" t="str">
        <v>PO-ALL-9070</v>
      </c>
      <c r="B15" t="str">
        <v>Ashok Leyland line</v>
      </c>
      <c r="C15" t="str">
        <v>2026-09-26</v>
      </c>
      <c r="D15" t="str">
        <v>2026-09-26</v>
      </c>
      <c r="E15">
        <v>24</v>
      </c>
      <c r="F15">
        <v>24</v>
      </c>
      <c r="G15" t="str">
        <f>IF(AND(H15&lt;=0,F15&gt;=E15),"YES","NO")</f>
        <v>YES</v>
      </c>
      <c r="H15">
        <v>0</v>
      </c>
      <c r="I15" t="str">
        <v>On Schedule</v>
      </c>
      <c r="J15" t="str">
        <f>IF(G15="NO","Dispatch Head","-")</f>
        <v>-</v>
      </c>
      <c r="K15" t="str">
        <v>-</v>
      </c>
      <c r="L15">
        <v>124200</v>
      </c>
    </row>
    <row r="16">
      <c r="A16" t="str">
        <v>WA-2026-09-17</v>
      </c>
      <c r="B16" t="str">
        <v>Local Tier-2</v>
      </c>
      <c r="C16" t="str">
        <v>2026-09-18</v>
      </c>
      <c r="D16" t="str">
        <v>2026-09-19</v>
      </c>
      <c r="E16">
        <v>300</v>
      </c>
      <c r="F16">
        <v>300</v>
      </c>
      <c r="G16" t="str">
        <f>IF(AND(H16&lt;=0,F16&gt;=E16),"YES","NO")</f>
        <v>NO</v>
      </c>
      <c r="H16">
        <v>1</v>
      </c>
      <c r="I16" t="str">
        <v>No vehicle</v>
      </c>
      <c r="J16" t="str">
        <f>IF(G16="NO","Dispatch Head","-")</f>
        <v>Dispatch Head</v>
      </c>
      <c r="K16" t="str">
        <v>2026-10-31</v>
      </c>
      <c r="L16">
        <v>1552500</v>
      </c>
    </row>
    <row r="17">
      <c r="A17" t="str">
        <v>PO-LT2-3320</v>
      </c>
      <c r="B17" t="str">
        <v>Local Tier-2</v>
      </c>
      <c r="C17" t="str">
        <v>2026-09-25</v>
      </c>
      <c r="D17" t="str">
        <v>2026-09-26</v>
      </c>
      <c r="E17">
        <v>180</v>
      </c>
      <c r="F17">
        <v>180</v>
      </c>
      <c r="G17" t="str">
        <f>IF(AND(H17&lt;=0,F17&gt;=E17),"YES","NO")</f>
        <v>NO</v>
      </c>
      <c r="H17">
        <v>1</v>
      </c>
      <c r="I17" t="str">
        <v>Labour short</v>
      </c>
      <c r="J17" t="str">
        <f>IF(G17="NO","Dispatch Head","-")</f>
        <v>Dispatch Head</v>
      </c>
      <c r="K17" t="str">
        <v>2026-10-31</v>
      </c>
      <c r="L17">
        <v>931500</v>
      </c>
    </row>
    <row r="18">
      <c r="A18" t="str">
        <v>PO-LT2-3290</v>
      </c>
      <c r="B18" t="str">
        <v>Local Tier-2</v>
      </c>
      <c r="C18" t="str">
        <v>2026-09-15</v>
      </c>
      <c r="D18" t="str">
        <v>2026-09-15</v>
      </c>
      <c r="E18">
        <v>500</v>
      </c>
      <c r="F18">
        <v>500</v>
      </c>
      <c r="G18" t="str">
        <f>IF(AND(H18&lt;=0,F18&gt;=E18),"YES","NO")</f>
        <v>YES</v>
      </c>
      <c r="H18">
        <v>0</v>
      </c>
      <c r="I18" t="str">
        <v>On Schedule</v>
      </c>
      <c r="J18" t="str">
        <f>IF(G18="NO","Dispatch Head","-")</f>
        <v>-</v>
      </c>
      <c r="K18" t="str">
        <v>-</v>
      </c>
      <c r="L18">
        <v>2587500</v>
      </c>
    </row>
    <row r="19">
      <c r="A19" t="str">
        <v>PO-LT2-3345</v>
      </c>
      <c r="B19" t="str">
        <v>Local Tier-2</v>
      </c>
      <c r="C19" t="str">
        <v>2026-09-22</v>
      </c>
      <c r="D19" t="str">
        <v>2026-09-22</v>
      </c>
      <c r="E19">
        <v>40</v>
      </c>
      <c r="F19">
        <v>40</v>
      </c>
      <c r="G19" t="str">
        <f>IF(AND(H19&lt;=0,F19&gt;=E19),"YES","NO")</f>
        <v>YES</v>
      </c>
      <c r="H19">
        <v>0</v>
      </c>
      <c r="I19" t="str">
        <v>On Schedule</v>
      </c>
      <c r="J19" t="str">
        <f>IF(G19="NO","Dispatch Head","-")</f>
        <v>-</v>
      </c>
      <c r="K19" t="str">
        <v>-</v>
      </c>
      <c r="L19">
        <v>207000</v>
      </c>
    </row>
    <row r="21">
      <c r="A21" t="str">
        <v>OTIF % &amp; REVENUE AT RISK</v>
      </c>
      <c r="B21" t="str">
        <v/>
      </c>
      <c r="C21" t="str">
        <v/>
      </c>
      <c r="D21" t="str">
        <v/>
      </c>
      <c r="E21" t="str">
        <v/>
      </c>
      <c r="F21" t="str">
        <v>OTIF %:</v>
      </c>
      <c r="G21">
        <f>COUNTIF(G2:G19,"YES")/COUNTA(G2:G19)</f>
        <v>0.5</v>
      </c>
      <c r="H21" t="str">
        <v/>
      </c>
      <c r="I21" t="str">
        <v/>
      </c>
      <c r="J21" t="str">
        <v>Rev At Risk:</v>
      </c>
      <c r="K21" t="str">
        <v/>
      </c>
      <c r="L21">
        <f>SUMIFS(L2:L19,G2:G19,"NO")</f>
        <v>5754600</v>
      </c>
    </row>
  </sheetData>
  <ignoredErrors>
    <ignoredError numberStoredAsText="1" sqref="A1:L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cols>
    <col min="1" max="1" width="22.83203125" customWidth="1"/>
    <col min="2" max="2" width="20.83203125" customWidth="1"/>
    <col min="3" max="3" width="16.83203125" customWidth="1"/>
    <col min="4" max="4" width="16.83203125" customWidth="1"/>
    <col min="5" max="5" width="14.83203125" customWidth="1"/>
    <col min="6" max="6" width="22.83203125" customWidth="1"/>
    <col min="7" max="7" width="16.83203125" customWidth="1"/>
    <col min="8" max="8" width="16.83203125" customWidth="1"/>
    <col min="9" max="9" width="14.83203125" customWidth="1"/>
    <col min="10" max="10" width="15.83203125" customWidth="1"/>
    <col min="11" max="11" width="12.83203125" customWidth="1"/>
  </cols>
  <sheetData>
    <row r="1">
      <c r="A1" t="str">
        <v>Route</v>
      </c>
      <c r="B1" t="str">
        <v>Customer</v>
      </c>
      <c r="C1" t="str">
        <v>Expected Freight</v>
      </c>
      <c r="D1" t="str">
        <v>Actual Freight</v>
      </c>
      <c r="E1" t="str">
        <v>Leakage</v>
      </c>
      <c r="F1" t="str">
        <v>Carrier</v>
      </c>
      <c r="G1" t="str">
        <v>Status</v>
      </c>
      <c r="H1" t="str">
        <v>Owner</v>
      </c>
      <c r="I1" t="str">
        <v>Due Date</v>
      </c>
      <c r="J1" t="str">
        <v>Sales Value</v>
      </c>
      <c r="K1" t="str">
        <v>Freight %</v>
      </c>
    </row>
    <row r="2">
      <c r="A2" t="str">
        <v>Ambattur to Oragadam</v>
      </c>
      <c r="B2" t="str">
        <v>TVS Motor</v>
      </c>
      <c r="C2">
        <v>18450</v>
      </c>
      <c r="D2">
        <v>18900</v>
      </c>
      <c r="E2">
        <f>MAX(0,D2-C2)</f>
        <v>450</v>
      </c>
      <c r="F2" t="str">
        <v>Murugan</v>
      </c>
      <c r="G2" t="str">
        <f>IF(E2&gt;0,"Freight Leak","Verified Clean")</f>
        <v>Freight Leak</v>
      </c>
      <c r="H2" t="str">
        <f>IF(E2&gt;0,"Logistics Head","-")</f>
        <v>Logistics Head</v>
      </c>
      <c r="I2" t="str">
        <v>2026-11-02</v>
      </c>
      <c r="J2">
        <v>534870</v>
      </c>
      <c r="K2">
        <f>D2/J2</f>
        <v>0.035</v>
      </c>
    </row>
    <row r="3">
      <c r="A3" t="str">
        <v>Ambattur to Oragadam</v>
      </c>
      <c r="B3" t="str">
        <v>Ashok Leyland</v>
      </c>
      <c r="C3">
        <v>16884</v>
      </c>
      <c r="D3">
        <v>27450</v>
      </c>
      <c r="E3">
        <f>MAX(0,D3-C3)</f>
        <v>10566</v>
      </c>
      <c r="F3" t="str">
        <v>Siva Transport</v>
      </c>
      <c r="G3" t="str">
        <f>IF(E3&gt;0,"Freight Leak","Verified Clean")</f>
        <v>Freight Leak</v>
      </c>
      <c r="H3" t="str">
        <f>IF(E3&gt;0,"Logistics Head","-")</f>
        <v>Logistics Head</v>
      </c>
      <c r="I3" t="str">
        <v>2026-11-02</v>
      </c>
      <c r="J3">
        <v>567000</v>
      </c>
      <c r="K3">
        <f>D3/J3</f>
        <v>0.048</v>
      </c>
    </row>
    <row r="4">
      <c r="A4" t="str">
        <v>Ambattur to Sriperumbudur</v>
      </c>
      <c r="B4" t="str">
        <v>Royal Enfield</v>
      </c>
      <c r="C4">
        <v>12915</v>
      </c>
      <c r="D4">
        <v>13365</v>
      </c>
      <c r="E4">
        <f>MAX(0,D4-C4)</f>
        <v>450</v>
      </c>
      <c r="F4" t="str">
        <v>Murugan</v>
      </c>
      <c r="G4" t="str">
        <f>IF(E4&gt;0,"Freight Leak","Verified Clean")</f>
        <v>Freight Leak</v>
      </c>
      <c r="H4" t="str">
        <f>IF(E4&gt;0,"Logistics Head","-")</f>
        <v>Logistics Head</v>
      </c>
      <c r="I4" t="str">
        <v>2026-11-02</v>
      </c>
      <c r="J4">
        <v>472500</v>
      </c>
      <c r="K4">
        <f>D4/J4</f>
        <v>0.028</v>
      </c>
    </row>
    <row r="5">
      <c r="A5" t="str">
        <v>Ambattur to Maraimalai Nagar</v>
      </c>
      <c r="B5" t="str">
        <v>Hyundai Mobis</v>
      </c>
      <c r="C5">
        <v>31878</v>
      </c>
      <c r="D5">
        <v>32328</v>
      </c>
      <c r="E5">
        <f>MAX(0,D5-C5)</f>
        <v>450</v>
      </c>
      <c r="F5" t="str">
        <v>Murugan</v>
      </c>
      <c r="G5" t="str">
        <f>IF(E5&gt;0,"Freight Leak","Verified Clean")</f>
        <v>Freight Leak</v>
      </c>
      <c r="H5" t="str">
        <f>IF(E5&gt;0,"Logistics Head","-")</f>
        <v>Logistics Head</v>
      </c>
      <c r="I5" t="str">
        <v>2026-11-02</v>
      </c>
      <c r="J5">
        <v>848610</v>
      </c>
      <c r="K5">
        <f>D5/J5</f>
        <v>0.038</v>
      </c>
    </row>
    <row r="6">
      <c r="A6" t="str">
        <v>Ambattur to Oragadam</v>
      </c>
      <c r="B6" t="str">
        <v>TAFE Tractors</v>
      </c>
      <c r="C6">
        <v>15795</v>
      </c>
      <c r="D6">
        <v>20453</v>
      </c>
      <c r="E6">
        <f>MAX(0,D6-C6)</f>
        <v>4658</v>
      </c>
      <c r="F6" t="str">
        <v>Murugan</v>
      </c>
      <c r="G6" t="str">
        <f>IF(E6&gt;0,"Freight Leak","Verified Clean")</f>
        <v>Freight Leak</v>
      </c>
      <c r="H6" t="str">
        <f>IF(E6&gt;0,"Logistics Head","-")</f>
        <v>Logistics Head</v>
      </c>
      <c r="I6" t="str">
        <v>2026-11-02</v>
      </c>
      <c r="J6">
        <v>472500</v>
      </c>
      <c r="K6">
        <f>D6/J6</f>
        <v>0.043</v>
      </c>
    </row>
    <row r="7">
      <c r="A7" t="str">
        <v>Ambattur to Sriperumbudur</v>
      </c>
      <c r="B7" t="str">
        <v>TVS Motor</v>
      </c>
      <c r="C7">
        <v>11534</v>
      </c>
      <c r="D7">
        <v>31649</v>
      </c>
      <c r="E7">
        <f>MAX(0,D7-C7)</f>
        <v>20115</v>
      </c>
      <c r="F7" t="str">
        <v>Siva Transport</v>
      </c>
      <c r="G7" t="str">
        <f>IF(E7&gt;0,"Freight Leak","Verified Clean")</f>
        <v>Freight Leak</v>
      </c>
      <c r="H7" t="str">
        <f>IF(E7&gt;0,"Logistics Head","-")</f>
        <v>Logistics Head</v>
      </c>
      <c r="I7" t="str">
        <v>2026-11-02</v>
      </c>
      <c r="J7">
        <v>567000</v>
      </c>
      <c r="K7">
        <f>D7/J7</f>
        <v>0.056</v>
      </c>
    </row>
    <row r="8">
      <c r="A8" t="str">
        <v>Ambattur to Sriperumbudur</v>
      </c>
      <c r="B8" t="str">
        <v>Ashok Leyland</v>
      </c>
      <c r="C8">
        <v>3546</v>
      </c>
      <c r="D8">
        <v>10436</v>
      </c>
      <c r="E8">
        <f>MAX(0,D8-C8)</f>
        <v>6890</v>
      </c>
      <c r="F8" t="str">
        <v>Ravi</v>
      </c>
      <c r="G8" t="str">
        <f>IF(E8&gt;0,"Freight Leak","Verified Clean")</f>
        <v>Freight Leak</v>
      </c>
      <c r="H8" t="str">
        <f>IF(E8&gt;0,"Logistics Head","-")</f>
        <v>Logistics Head</v>
      </c>
      <c r="I8" t="str">
        <v>2026-11-02</v>
      </c>
      <c r="J8">
        <v>189000</v>
      </c>
      <c r="K8">
        <f>D8/J8</f>
        <v>0.055</v>
      </c>
    </row>
    <row r="9">
      <c r="A9" t="str">
        <v>Ambattur to Maraimalai Nagar</v>
      </c>
      <c r="B9" t="str">
        <v>Royal Enfield</v>
      </c>
      <c r="C9">
        <v>13500</v>
      </c>
      <c r="D9">
        <v>26820</v>
      </c>
      <c r="E9">
        <f>MAX(0,D9-C9)</f>
        <v>13320</v>
      </c>
      <c r="F9" t="str">
        <v>Siva Transport</v>
      </c>
      <c r="G9" t="str">
        <f>IF(E9&gt;0,"Freight Leak","Verified Clean")</f>
        <v>Freight Leak</v>
      </c>
      <c r="H9" t="str">
        <f>IF(E9&gt;0,"Logistics Head","-")</f>
        <v>Logistics Head</v>
      </c>
      <c r="I9" t="str">
        <v>2026-11-02</v>
      </c>
      <c r="J9">
        <v>472500</v>
      </c>
      <c r="K9">
        <f>D9/J9</f>
        <v>0.057</v>
      </c>
    </row>
    <row r="10">
      <c r="A10" t="str">
        <v>Ambattur to Oragadam</v>
      </c>
      <c r="B10" t="str">
        <v>Hyundai Mobis</v>
      </c>
      <c r="C10">
        <v>18032</v>
      </c>
      <c r="D10">
        <v>19832</v>
      </c>
      <c r="E10">
        <f>MAX(0,D10-C10)</f>
        <v>1800</v>
      </c>
      <c r="F10" t="str">
        <v>Siva Transport</v>
      </c>
      <c r="G10" t="str">
        <f>IF(E10&gt;0,"Freight Leak","Verified Clean")</f>
        <v>Freight Leak</v>
      </c>
      <c r="H10" t="str">
        <f>IF(E10&gt;0,"Logistics Head","-")</f>
        <v>Logistics Head</v>
      </c>
      <c r="I10" t="str">
        <v>2026-11-02</v>
      </c>
      <c r="J10">
        <v>567000</v>
      </c>
      <c r="K10">
        <f>D10/J10</f>
        <v>0.035</v>
      </c>
    </row>
    <row r="11">
      <c r="A11" t="str">
        <v>Ambattur to Sriperumbudur</v>
      </c>
      <c r="B11" t="str">
        <v>TAFE Tractors</v>
      </c>
      <c r="C11">
        <v>16205</v>
      </c>
      <c r="D11">
        <v>17105</v>
      </c>
      <c r="E11">
        <f>MAX(0,D11-C11)</f>
        <v>900</v>
      </c>
      <c r="F11" t="str">
        <v>Murugan</v>
      </c>
      <c r="G11" t="str">
        <f>IF(E11&gt;0,"Freight Leak","Verified Clean")</f>
        <v>Freight Leak</v>
      </c>
      <c r="H11" t="str">
        <f>IF(E11&gt;0,"Logistics Head","-")</f>
        <v>Logistics Head</v>
      </c>
      <c r="I11" t="str">
        <v>2026-11-02</v>
      </c>
      <c r="J11">
        <v>604800</v>
      </c>
      <c r="K11">
        <f>D11/J11</f>
        <v>0.028</v>
      </c>
    </row>
    <row r="12">
      <c r="A12" t="str">
        <v>Ambattur to Oragadam</v>
      </c>
      <c r="B12" t="str">
        <v>TVS Motor</v>
      </c>
      <c r="C12">
        <v>16245</v>
      </c>
      <c r="D12">
        <v>16695</v>
      </c>
      <c r="E12">
        <f>MAX(0,D12-C12)</f>
        <v>450</v>
      </c>
      <c r="F12" t="str">
        <v>Ravi</v>
      </c>
      <c r="G12" t="str">
        <f>IF(E12&gt;0,"Freight Leak","Verified Clean")</f>
        <v>Freight Leak</v>
      </c>
      <c r="H12" t="str">
        <f>IF(E12&gt;0,"Logistics Head","-")</f>
        <v>Logistics Head</v>
      </c>
      <c r="I12" t="str">
        <v>2026-11-02</v>
      </c>
      <c r="J12">
        <v>472500</v>
      </c>
      <c r="K12">
        <f>D12/J12</f>
        <v>0.035</v>
      </c>
    </row>
    <row r="13">
      <c r="A13" t="str">
        <v>Ambattur to Maraimalai Nagar</v>
      </c>
      <c r="B13" t="str">
        <v>Ashok Leyland</v>
      </c>
      <c r="C13">
        <v>25970</v>
      </c>
      <c r="D13">
        <v>28670</v>
      </c>
      <c r="E13">
        <f>MAX(0,D13-C13)</f>
        <v>2700</v>
      </c>
      <c r="F13" t="str">
        <v>Ravi</v>
      </c>
      <c r="G13" t="str">
        <f>IF(E13&gt;0,"Freight Leak","Verified Clean")</f>
        <v>Freight Leak</v>
      </c>
      <c r="H13" t="str">
        <f>IF(E13&gt;0,"Logistics Head","-")</f>
        <v>Logistics Head</v>
      </c>
      <c r="I13" t="str">
        <v>2026-11-02</v>
      </c>
      <c r="J13">
        <v>661500</v>
      </c>
      <c r="K13">
        <f>D13/J13</f>
        <v>0.043</v>
      </c>
    </row>
    <row r="15">
      <c r="A15" t="str">
        <v>TOTAL FREIGHT LEAKAGE</v>
      </c>
      <c r="B15" t="str">
        <v/>
      </c>
      <c r="C15" t="str">
        <v/>
      </c>
      <c r="D15" t="str">
        <v/>
      </c>
      <c r="E15">
        <f>SUM(E2:E13)</f>
        <v>62749</v>
      </c>
      <c r="F15" t="str">
        <v>RAG STATUS:</v>
      </c>
      <c r="G15" t="str">
        <f>IF(E15&gt;50000,"RED",IF(E15&gt;=25000,"AMBER","GREEN"))</f>
        <v>RED</v>
      </c>
    </row>
  </sheetData>
  <ignoredErrors>
    <ignoredError numberStoredAsText="1" sqref="A1:K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30.83203125" customWidth="1"/>
    <col min="2" max="2" width="14.83203125" customWidth="1"/>
    <col min="3" max="3" width="12.83203125" customWidth="1"/>
    <col min="4" max="4" width="13.83203125" customWidth="1"/>
    <col min="5" max="5" width="12.83203125" customWidth="1"/>
    <col min="6" max="6" width="16.83203125" customWidth="1"/>
    <col min="7" max="7" width="14.83203125" customWidth="1"/>
    <col min="8" max="8" width="16.83203125" customWidth="1"/>
    <col min="9" max="9" width="14.83203125" customWidth="1"/>
    <col min="10" max="10" width="12.83203125" customWidth="1"/>
  </cols>
  <sheetData>
    <row r="1">
      <c r="A1" t="str">
        <v>Item</v>
      </c>
      <c r="B1" t="str">
        <v>Bin</v>
      </c>
      <c r="C1" t="str">
        <v>System Qty</v>
      </c>
      <c r="D1" t="str">
        <v>Physical Qty</v>
      </c>
      <c r="E1" t="str">
        <v>Variance</v>
      </c>
      <c r="F1" t="str">
        <v>Variance Value</v>
      </c>
      <c r="G1" t="str">
        <v>Status</v>
      </c>
      <c r="H1" t="str">
        <v>Owner</v>
      </c>
      <c r="I1" t="str">
        <v>Due Date</v>
      </c>
      <c r="J1" t="str">
        <v>Unit Cost</v>
      </c>
    </row>
    <row r="2">
      <c r="A2" t="str">
        <v>EV-CHG-01 - Portable charger 3.3 kW</v>
      </c>
      <c r="B2" t="str">
        <v>Back rack</v>
      </c>
      <c r="C2">
        <v>6</v>
      </c>
      <c r="D2">
        <v>5</v>
      </c>
      <c r="E2">
        <f>D2-C2</f>
        <v>-1</v>
      </c>
      <c r="F2">
        <f>ABS(E2)*J2</f>
        <v>36900</v>
      </c>
      <c r="G2" t="str">
        <f>IF(E2=0,"Matched","Mismatch")</f>
        <v>Mismatch</v>
      </c>
      <c r="H2" t="str">
        <f>IF(E2=0,"-","Stores Head")</f>
        <v>Stores Head</v>
      </c>
      <c r="I2" t="str">
        <v>2026-10-31</v>
      </c>
      <c r="J2">
        <v>36900</v>
      </c>
    </row>
    <row r="3">
      <c r="A3" t="str">
        <v>EV-CHG-OLD - Slow charger leftover</v>
      </c>
      <c r="B3" t="str">
        <v>Back rack</v>
      </c>
      <c r="C3">
        <v>3</v>
      </c>
      <c r="D3">
        <v>2</v>
      </c>
      <c r="E3">
        <f>D3-C3</f>
        <v>-1</v>
      </c>
      <c r="F3">
        <f>ABS(E3)*J3</f>
        <v>24300</v>
      </c>
      <c r="G3" t="str">
        <f>IF(E3=0,"Matched","Mismatch")</f>
        <v>Mismatch</v>
      </c>
      <c r="H3" t="str">
        <f>IF(E3=0,"-","Stores Head")</f>
        <v>Stores Head</v>
      </c>
      <c r="I3" t="str">
        <v>2026-10-31</v>
      </c>
      <c r="J3">
        <v>24300</v>
      </c>
    </row>
    <row r="4">
      <c r="A4" t="str">
        <v>EV-BRK-04 - Brake-pad set</v>
      </c>
      <c r="B4" t="str">
        <v>Mezzanine</v>
      </c>
      <c r="C4">
        <v>10</v>
      </c>
      <c r="D4">
        <v>7</v>
      </c>
      <c r="E4">
        <f>D4-C4</f>
        <v>-3</v>
      </c>
      <c r="F4">
        <f>ABS(E4)*J4</f>
        <v>24300</v>
      </c>
      <c r="G4" t="str">
        <f>IF(E4=0,"Matched","Mismatch")</f>
        <v>Mismatch</v>
      </c>
      <c r="H4" t="str">
        <f>IF(E4=0,"-","Stores Head")</f>
        <v>Stores Head</v>
      </c>
      <c r="I4" t="str">
        <v>2026-10-31</v>
      </c>
      <c r="J4">
        <v>8100</v>
      </c>
    </row>
    <row r="5">
      <c r="A5" t="str">
        <v>EV-DSP-02 - Display unit</v>
      </c>
      <c r="B5" t="str">
        <v>Drawer</v>
      </c>
      <c r="C5">
        <v>5</v>
      </c>
      <c r="D5">
        <v>3</v>
      </c>
      <c r="E5">
        <f>D5-C5</f>
        <v>-2</v>
      </c>
      <c r="F5">
        <f>ABS(E5)*J5</f>
        <v>21600</v>
      </c>
      <c r="G5" t="str">
        <f>IF(E5=0,"Matched","Mismatch")</f>
        <v>Mismatch</v>
      </c>
      <c r="H5" t="str">
        <f>IF(E5=0,"-","Stores Head")</f>
        <v>Stores Head</v>
      </c>
      <c r="I5" t="str">
        <v>2026-10-31</v>
      </c>
      <c r="J5">
        <v>10800</v>
      </c>
    </row>
    <row r="6">
      <c r="A6" t="str">
        <v>EV-TYR-TUB - Tube 3.00-10</v>
      </c>
      <c r="B6" t="str">
        <v>Counter</v>
      </c>
      <c r="C6">
        <v>20</v>
      </c>
      <c r="D6">
        <v>22</v>
      </c>
      <c r="E6">
        <f>D6-C6</f>
        <v>2</v>
      </c>
      <c r="F6">
        <f>ABS(E6)*J6</f>
        <v>2520</v>
      </c>
      <c r="G6" t="str">
        <f>IF(E6=0,"Matched","Mismatch")</f>
        <v>Mismatch</v>
      </c>
      <c r="H6" t="str">
        <f>IF(E6=0,"-","Stores Head")</f>
        <v>Stores Head</v>
      </c>
      <c r="I6" t="str">
        <v>2026-10-31</v>
      </c>
      <c r="J6">
        <v>1260</v>
      </c>
    </row>
    <row r="7">
      <c r="A7" t="str">
        <v>EV-LCK-09 - Handle lock</v>
      </c>
      <c r="B7" t="str">
        <v>Counter</v>
      </c>
      <c r="C7">
        <v>18</v>
      </c>
      <c r="D7">
        <v>16</v>
      </c>
      <c r="E7">
        <f>D7-C7</f>
        <v>-2</v>
      </c>
      <c r="F7">
        <f>ABS(E7)*J7</f>
        <v>1980</v>
      </c>
      <c r="G7" t="str">
        <f>IF(E7=0,"Matched","Mismatch")</f>
        <v>Mismatch</v>
      </c>
      <c r="H7" t="str">
        <f>IF(E7=0,"-","Stores Head")</f>
        <v>Stores Head</v>
      </c>
      <c r="I7" t="str">
        <v>2026-10-31</v>
      </c>
      <c r="J7">
        <v>990</v>
      </c>
    </row>
    <row r="8">
      <c r="A8" t="str">
        <v>EV-MIR-01 - Side mirror pair</v>
      </c>
      <c r="B8" t="str">
        <v>Back rack</v>
      </c>
      <c r="C8">
        <v>8</v>
      </c>
      <c r="D8">
        <v>8</v>
      </c>
      <c r="E8">
        <f>D8-C8</f>
        <v>0</v>
      </c>
      <c r="F8">
        <f>ABS(E8)*J8</f>
        <v>0</v>
      </c>
      <c r="G8" t="str">
        <f>IF(E8=0,"Matched","Mismatch")</f>
        <v>Matched</v>
      </c>
      <c r="H8" t="str">
        <f>IF(E8=0,"-","Stores Head")</f>
        <v>-</v>
      </c>
      <c r="I8" t="str">
        <v>-</v>
      </c>
      <c r="J8">
        <v>2925</v>
      </c>
    </row>
    <row r="9">
      <c r="A9" t="str">
        <v>EV-LGT-HL - LED headlamp</v>
      </c>
      <c r="B9" t="str">
        <v>Mezzanine</v>
      </c>
      <c r="C9">
        <v>9</v>
      </c>
      <c r="D9">
        <v>9</v>
      </c>
      <c r="E9">
        <f>D9-C9</f>
        <v>0</v>
      </c>
      <c r="F9">
        <f>ABS(E9)*J9</f>
        <v>0</v>
      </c>
      <c r="G9" t="str">
        <f>IF(E9=0,"Matched","Mismatch")</f>
        <v>Matched</v>
      </c>
      <c r="H9" t="str">
        <f>IF(E9=0,"-","Stores Head")</f>
        <v>-</v>
      </c>
      <c r="I9" t="str">
        <v>-</v>
      </c>
      <c r="J9">
        <v>5175</v>
      </c>
    </row>
    <row r="10">
      <c r="A10" t="str">
        <v>EV-CAB-01 - Charging cable</v>
      </c>
      <c r="B10" t="str">
        <v>Counter</v>
      </c>
      <c r="C10">
        <v>14</v>
      </c>
      <c r="D10">
        <v>14</v>
      </c>
      <c r="E10">
        <f>D10-C10</f>
        <v>0</v>
      </c>
      <c r="F10">
        <f>ABS(E10)*J10</f>
        <v>0</v>
      </c>
      <c r="G10" t="str">
        <f>IF(E10=0,"Matched","Mismatch")</f>
        <v>Matched</v>
      </c>
      <c r="H10" t="str">
        <f>IF(E10=0,"-","Stores Head")</f>
        <v>-</v>
      </c>
      <c r="I10" t="str">
        <v>-</v>
      </c>
      <c r="J10">
        <v>5625</v>
      </c>
    </row>
    <row r="11">
      <c r="A11" t="str">
        <v>EV-ELC-FUS - Fuse kit</v>
      </c>
      <c r="B11" t="str">
        <v>Counter</v>
      </c>
      <c r="C11">
        <v>30</v>
      </c>
      <c r="D11">
        <v>30</v>
      </c>
      <c r="E11">
        <f>D11-C11</f>
        <v>0</v>
      </c>
      <c r="F11">
        <f>ABS(E11)*J11</f>
        <v>0</v>
      </c>
      <c r="G11" t="str">
        <f>IF(E11=0,"Matched","Mismatch")</f>
        <v>Matched</v>
      </c>
      <c r="H11" t="str">
        <f>IF(E11=0,"-","Stores Head")</f>
        <v>-</v>
      </c>
      <c r="I11" t="str">
        <v>-</v>
      </c>
      <c r="J11">
        <v>203</v>
      </c>
    </row>
    <row r="12">
      <c r="A12" t="str">
        <v>EV-HRN-01 - Horn</v>
      </c>
      <c r="B12" t="str">
        <v>Counter</v>
      </c>
      <c r="C12">
        <v>11</v>
      </c>
      <c r="D12">
        <v>11</v>
      </c>
      <c r="E12">
        <f>D12-C12</f>
        <v>0</v>
      </c>
      <c r="F12">
        <f>ABS(E12)*J12</f>
        <v>0</v>
      </c>
      <c r="G12" t="str">
        <f>IF(E12=0,"Matched","Mismatch")</f>
        <v>Matched</v>
      </c>
      <c r="H12" t="str">
        <f>IF(E12=0,"-","Stores Head")</f>
        <v>-</v>
      </c>
      <c r="I12" t="str">
        <v>-</v>
      </c>
      <c r="J12">
        <v>1440</v>
      </c>
    </row>
    <row r="13">
      <c r="A13" t="str">
        <v>EV-CTL-V1 - Controller old</v>
      </c>
      <c r="B13" t="str">
        <v>Back rack</v>
      </c>
      <c r="C13">
        <v>4</v>
      </c>
      <c r="D13">
        <v>4</v>
      </c>
      <c r="E13">
        <f>D13-C13</f>
        <v>0</v>
      </c>
      <c r="F13">
        <f>ABS(E13)*J13</f>
        <v>0</v>
      </c>
      <c r="G13" t="str">
        <f>IF(E13=0,"Matched","Mismatch")</f>
        <v>Matched</v>
      </c>
      <c r="H13" t="str">
        <f>IF(E13=0,"-","Stores Head")</f>
        <v>-</v>
      </c>
      <c r="I13" t="str">
        <v>-</v>
      </c>
      <c r="J13">
        <v>29250</v>
      </c>
    </row>
    <row r="14">
      <c r="A14" t="str">
        <v>EV-ACC-SC - Seat cover</v>
      </c>
      <c r="B14" t="str">
        <v>Back rack</v>
      </c>
      <c r="C14">
        <v>12</v>
      </c>
      <c r="D14">
        <v>12</v>
      </c>
      <c r="E14">
        <f>D14-C14</f>
        <v>0</v>
      </c>
      <c r="F14">
        <f>ABS(E14)*J14</f>
        <v>0</v>
      </c>
      <c r="G14" t="str">
        <f>IF(E14=0,"Matched","Mismatch")</f>
        <v>Matched</v>
      </c>
      <c r="H14" t="str">
        <f>IF(E14=0,"-","Stores Head")</f>
        <v>-</v>
      </c>
      <c r="I14" t="str">
        <v>-</v>
      </c>
      <c r="J14">
        <v>1710</v>
      </c>
    </row>
    <row r="15">
      <c r="A15" t="str">
        <v>EV-BDY-SS - Side stand</v>
      </c>
      <c r="B15" t="str">
        <v>Back rack</v>
      </c>
      <c r="C15">
        <v>15</v>
      </c>
      <c r="D15">
        <v>15</v>
      </c>
      <c r="E15">
        <f>D15-C15</f>
        <v>0</v>
      </c>
      <c r="F15">
        <f>ABS(E15)*J15</f>
        <v>0</v>
      </c>
      <c r="G15" t="str">
        <f>IF(E15=0,"Matched","Mismatch")</f>
        <v>Matched</v>
      </c>
      <c r="H15" t="str">
        <f>IF(E15=0,"-","Stores Head")</f>
        <v>-</v>
      </c>
      <c r="I15" t="str">
        <v>-</v>
      </c>
      <c r="J15">
        <v>1305</v>
      </c>
    </row>
    <row r="16">
      <c r="A16" t="str">
        <v>EV-ACC-MAT - Old floor mat</v>
      </c>
      <c r="B16" t="str">
        <v>Mezzanine</v>
      </c>
      <c r="C16">
        <v>8</v>
      </c>
      <c r="D16">
        <v>8</v>
      </c>
      <c r="E16">
        <f>D16-C16</f>
        <v>0</v>
      </c>
      <c r="F16">
        <f>ABS(E16)*J16</f>
        <v>0</v>
      </c>
      <c r="G16" t="str">
        <f>IF(E16=0,"Matched","Mismatch")</f>
        <v>Matched</v>
      </c>
      <c r="H16" t="str">
        <f>IF(E16=0,"-","Stores Head")</f>
        <v>-</v>
      </c>
      <c r="I16" t="str">
        <v>-</v>
      </c>
      <c r="J16">
        <v>945</v>
      </c>
    </row>
    <row r="18">
      <c r="A18" t="str">
        <v>INVENTORY ACCURACY %</v>
      </c>
      <c r="B18" t="str">
        <v/>
      </c>
      <c r="C18" t="str">
        <v/>
      </c>
      <c r="D18" t="str">
        <v/>
      </c>
      <c r="E18">
        <f>COUNTIF(G2:G16,"Matched")/COUNTA(G2:G16)</f>
        <v>0.6</v>
      </c>
      <c r="F18">
        <f>SUM(F2:F16)</f>
        <v>111600</v>
      </c>
      <c r="G18" t="str">
        <f>IF(E18&gt;=0.98,"GREEN",IF(E18&gt;=0.95,"AMBER","RED"))</f>
        <v>RED</v>
      </c>
    </row>
  </sheetData>
  <ignoredErrors>
    <ignoredError numberStoredAsText="1" sqref="A1:J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2.83203125" customWidth="1"/>
    <col min="2" max="2" width="18.83203125" customWidth="1"/>
    <col min="3" max="3" width="46.83203125" customWidth="1"/>
    <col min="4" max="4" width="12.83203125" customWidth="1"/>
    <col min="5" max="5" width="20.83203125" customWidth="1"/>
    <col min="6" max="6" width="14.83203125" customWidth="1"/>
    <col min="7" max="7" width="14.83203125" customWidth="1"/>
    <col min="8" max="8" width="42.83203125" customWidth="1"/>
  </cols>
  <sheetData>
    <row r="1">
      <c r="A1" t="str">
        <v>Issue ID</v>
      </c>
      <c r="B1" t="str">
        <v>Project</v>
      </c>
      <c r="C1" t="str">
        <v>Issue</v>
      </c>
      <c r="D1" t="str">
        <v>Priority</v>
      </c>
      <c r="E1" t="str">
        <v>Owner</v>
      </c>
      <c r="F1" t="str">
        <v>Due Date</v>
      </c>
      <c r="G1" t="str">
        <v>Status</v>
      </c>
      <c r="H1" t="str">
        <v>Remarks</v>
      </c>
    </row>
    <row r="2">
      <c r="A2" t="str">
        <v>ISS-101</v>
      </c>
      <c r="B2" t="str">
        <v>P1 Dead Stock</v>
      </c>
      <c r="C2" t="str">
        <v>Liquidate top dead SKUs locking ₹10.04L</v>
      </c>
      <c r="D2" t="str">
        <v>Critical</v>
      </c>
      <c r="E2" t="str">
        <v>Inventory Manager</v>
      </c>
      <c r="F2" t="str">
        <f>TEXT(IF(D2="Critical",TODAY()+3,IF(D2="High",TODAY()+7,IF(D2="Medium",TODAY()+14,TODAY()+30))),"yyyy-mm-dd")</f>
        <v>2026-10-31</v>
      </c>
      <c r="G2" t="str">
        <v>Open</v>
      </c>
      <c r="H2" t="str">
        <v>7-day clearance auction &amp; repeat-buy block active</v>
      </c>
    </row>
    <row r="3">
      <c r="A3" t="str">
        <v>ISS-102</v>
      </c>
      <c r="B3" t="str">
        <v>P2 OTIF</v>
      </c>
      <c r="C3" t="str">
        <v>Escalate late OEM dispatches (OTIF 50%)</v>
      </c>
      <c r="D3" t="str">
        <v>Critical</v>
      </c>
      <c r="E3" t="str">
        <v>Dispatch Head</v>
      </c>
      <c r="F3" t="str">
        <f>TEXT(IF(D3="Critical",TODAY()+3,IF(D3="High",TODAY()+7,IF(D3="Medium",TODAY()+14,TODAY()+30))),"yyyy-mm-dd")</f>
        <v>2026-10-31</v>
      </c>
      <c r="G3" t="str">
        <v>Overdue</v>
      </c>
      <c r="H3" t="str">
        <v>T-24h gate slot &amp; QC inspection buffer required</v>
      </c>
    </row>
    <row r="4">
      <c r="A4" t="str">
        <v>ISS-103</v>
      </c>
      <c r="B4" t="str">
        <v>P3 Freight</v>
      </c>
      <c r="C4" t="str">
        <v>Recover ₹63K carrier rate &amp; detention leaks</v>
      </c>
      <c r="D4" t="str">
        <v>High</v>
      </c>
      <c r="E4" t="str">
        <v>Logistics Head</v>
      </c>
      <c r="F4" t="str">
        <f>TEXT(IF(D4="Critical",TODAY()+3,IF(D4="High",TODAY()+7,IF(D4="Medium",TODAY()+14,TODAY()+30))),"yyyy-mm-dd")</f>
        <v>2026-11-04</v>
      </c>
      <c r="G4" t="str">
        <v>Open</v>
      </c>
      <c r="H4" t="str">
        <v>Debit notes raised before weekly bill payout</v>
      </c>
    </row>
    <row r="5">
      <c r="A5" t="str">
        <v>ISS-104</v>
      </c>
      <c r="B5" t="str">
        <v>P4 Bin Audit</v>
      </c>
      <c r="C5" t="str">
        <v>Recount 6 mismatched bins (₹112K gap)</v>
      </c>
      <c r="D5" t="str">
        <v>High</v>
      </c>
      <c r="E5" t="str">
        <v>Stores Head</v>
      </c>
      <c r="F5" t="str">
        <f>TEXT(IF(D5="Critical",TODAY()+3,IF(D5="High",TODAY()+7,IF(D5="Medium",TODAY()+14,TODAY()+30))),"yyyy-mm-dd")</f>
        <v>2026-11-04</v>
      </c>
      <c r="G5" t="str">
        <v>Open</v>
      </c>
      <c r="H5" t="str">
        <v>Blind cycle count assigned to morning store shift</v>
      </c>
    </row>
    <row r="6">
      <c r="A6" t="str">
        <v>ISS-105</v>
      </c>
      <c r="B6" t="str">
        <v>P5 Control Tower</v>
      </c>
      <c r="C6" t="str">
        <v>Weekly Leadership Review &amp; Overdue Debtor Follow-Up</v>
      </c>
      <c r="D6" t="str">
        <v>Medium</v>
      </c>
      <c r="E6" t="str">
        <v>Plant Head</v>
      </c>
      <c r="F6" t="str">
        <f>TEXT(IF(D6="Critical",TODAY()+3,IF(D6="High",TODAY()+7,IF(D6="Medium",TODAY()+14,TODAY()+30))),"yyyy-mm-dd")</f>
        <v>2026-11-11</v>
      </c>
      <c r="G6" t="str">
        <v>Completed</v>
      </c>
      <c r="H6" t="str">
        <v>Monday 9 AM CEO briefing dispatched</v>
      </c>
    </row>
    <row r="7">
      <c r="A7" t="str">
        <v>ISS-106</v>
      </c>
      <c r="B7" t="str">
        <v>P1 Dead Stock</v>
      </c>
      <c r="C7" t="str">
        <v>Scrap write-off of &gt;365d obsolete metal offcuts</v>
      </c>
      <c r="D7" t="str">
        <v>Low</v>
      </c>
      <c r="E7" t="str">
        <v>Inventory Manager</v>
      </c>
      <c r="F7" t="str">
        <f>TEXT(IF(D7="Critical",TODAY()+3,IF(D7="High",TODAY()+7,IF(D7="Medium",TODAY()+14,TODAY()+30))),"yyyy-mm-dd")</f>
        <v>2026-11-27</v>
      </c>
      <c r="G7" t="str">
        <v>Completed</v>
      </c>
      <c r="H7" t="str">
        <v>Cleared via approved metal scrap vendor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Dashboard</vt:lpstr>
      <vt:lpstr>P1 Dead Inventory</vt:lpstr>
      <vt:lpstr>P2 OTIF</vt:lpstr>
      <vt:lpstr>P3 Freight</vt:lpstr>
      <vt:lpstr>P4 Bin Audit</vt:lpstr>
      <vt:lpstr>Action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